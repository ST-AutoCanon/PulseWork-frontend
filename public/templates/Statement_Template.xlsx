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PDATEDVAISHCODES\"/>
    </mc:Choice>
  </mc:AlternateContent>
  <xr:revisionPtr revIDLastSave="0" documentId="13_ncr:1_{DD2CE20F-3663-4DE4-A91C-019DD03185D9}" xr6:coauthVersionLast="47" xr6:coauthVersionMax="47" xr10:uidLastSave="{00000000-0000-0000-0000-000000000000}"/>
  <bookViews>
    <workbookView xWindow="-120" yWindow="-120" windowWidth="20730" windowHeight="11160" xr2:uid="{35B0C21B-C06B-4144-89F2-48217399D44C}"/>
  </bookViews>
  <sheets>
    <sheet name="Sheet1" sheetId="1" r:id="rId1"/>
  </sheets>
  <definedNames>
    <definedName name="_xlnm._FilterDatabase" localSheetId="0" hidden="1">Sheet1!$A$1:$U$6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6" i="1" l="1"/>
  <c r="M5" i="1"/>
  <c r="M4" i="1"/>
  <c r="M3" i="1"/>
  <c r="M2" i="1"/>
  <c r="T6" i="1"/>
  <c r="T5" i="1"/>
  <c r="U5" i="1" s="1"/>
  <c r="T4" i="1"/>
  <c r="T3" i="1"/>
  <c r="T2" i="1"/>
  <c r="U3" i="1" l="1"/>
  <c r="U4" i="1"/>
  <c r="U6" i="1"/>
  <c r="U2" i="1"/>
</calcChain>
</file>

<file path=xl/sharedStrings.xml><?xml version="1.0" encoding="utf-8"?>
<sst xmlns="http://schemas.openxmlformats.org/spreadsheetml/2006/main" count="41" uniqueCount="36">
  <si>
    <t>employee_id</t>
  </si>
  <si>
    <t>department</t>
  </si>
  <si>
    <t>Basic Salary</t>
  </si>
  <si>
    <t>HRA</t>
  </si>
  <si>
    <t>Allowance</t>
  </si>
  <si>
    <t>Special Allowance</t>
  </si>
  <si>
    <t>RNR/Bonus</t>
  </si>
  <si>
    <t>Salary Advance</t>
  </si>
  <si>
    <t>Total</t>
  </si>
  <si>
    <t>PF</t>
  </si>
  <si>
    <t>Insurance</t>
  </si>
  <si>
    <t>PT</t>
  </si>
  <si>
    <t>ESI</t>
  </si>
  <si>
    <t>Advance recovery</t>
  </si>
  <si>
    <t>TDS</t>
  </si>
  <si>
    <t>STS030</t>
  </si>
  <si>
    <t>Vijay</t>
  </si>
  <si>
    <t>CAE</t>
  </si>
  <si>
    <t>CAE Team Lead</t>
  </si>
  <si>
    <t>STS031</t>
  </si>
  <si>
    <t>Associate CAE Engineer</t>
  </si>
  <si>
    <t>STS032</t>
  </si>
  <si>
    <t xml:space="preserve">Soumya </t>
  </si>
  <si>
    <t>STS033</t>
  </si>
  <si>
    <t>Aishwarya</t>
  </si>
  <si>
    <t>STS006</t>
  </si>
  <si>
    <t>Prajwal</t>
  </si>
  <si>
    <t>Design</t>
  </si>
  <si>
    <t>Design Engineer</t>
  </si>
  <si>
    <t>employee_name</t>
  </si>
  <si>
    <t>designation</t>
  </si>
  <si>
    <t>joining_date</t>
  </si>
  <si>
    <t>Net Salary</t>
  </si>
  <si>
    <t>Total Deductions</t>
  </si>
  <si>
    <t>Total Earnings</t>
  </si>
  <si>
    <t>Heasdmanth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</si>
</sst>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sz val="12"/>
      <color theme="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/>
    <xf numFmtId="1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505C9-B9FD-4D0C-92EE-6F3ECCB7626D}">
  <dimension ref="A1:U6"/>
  <sheetViews>
    <sheetView tabSelected="1" workbookViewId="0">
      <selection activeCell="A7" sqref="A7:AE48"/>
    </sheetView>
  </sheetViews>
  <sheetFormatPr defaultRowHeight="15" x14ac:dyDescent="0.25"/>
  <cols>
    <col min="1" max="1" width="12.7109375" bestFit="1" customWidth="1"/>
    <col min="2" max="2" width="16.140625" bestFit="1" customWidth="1"/>
    <col min="3" max="3" width="13.7109375" bestFit="1" customWidth="1"/>
    <col min="4" max="4" width="26.7109375" bestFit="1" customWidth="1"/>
    <col min="5" max="5" width="15.5703125" bestFit="1" customWidth="1"/>
    <col min="6" max="6" width="13.140625" bestFit="1" customWidth="1"/>
    <col min="7" max="7" width="6" bestFit="1" customWidth="1"/>
    <col min="8" max="8" width="10.7109375" bestFit="1" customWidth="1"/>
    <col min="9" max="9" width="18.42578125" bestFit="1" customWidth="1"/>
    <col min="10" max="10" width="12.7109375" bestFit="1" customWidth="1"/>
    <col min="11" max="11" width="12.7109375" customWidth="1"/>
    <col min="12" max="12" width="16.140625" bestFit="1" customWidth="1"/>
    <col min="13" max="13" width="17.5703125" customWidth="1"/>
    <col min="14" max="14" width="5" bestFit="1" customWidth="1"/>
    <col min="15" max="15" width="10.42578125" bestFit="1" customWidth="1"/>
    <col min="16" max="16" width="4" bestFit="1" customWidth="1"/>
    <col min="17" max="17" width="3.5703125" bestFit="1" customWidth="1"/>
    <col min="18" max="18" width="16.85546875" bestFit="1" customWidth="1"/>
    <col min="19" max="19" width="4.28515625" bestFit="1" customWidth="1"/>
    <col min="20" max="20" width="17.5703125" bestFit="1" customWidth="1"/>
    <col min="21" max="21" width="12.7109375" bestFit="1" customWidth="1"/>
  </cols>
  <sheetData>
    <row r="1" spans="1:21" ht="15.75" x14ac:dyDescent="0.25">
      <c r="A1" s="1" t="s">
        <v>0</v>
      </c>
      <c r="B1" s="1" t="s">
        <v>29</v>
      </c>
      <c r="C1" s="1" t="s">
        <v>1</v>
      </c>
      <c r="D1" s="1" t="s">
        <v>30</v>
      </c>
      <c r="E1" s="12" t="s">
        <v>31</v>
      </c>
      <c r="F1" s="2" t="s">
        <v>2</v>
      </c>
      <c r="G1" s="2" t="s">
        <v>3</v>
      </c>
      <c r="H1" s="2" t="s">
        <v>4</v>
      </c>
      <c r="I1" s="3" t="s">
        <v>5</v>
      </c>
      <c r="J1" s="3" t="s">
        <v>6</v>
      </c>
      <c r="K1" s="3" t="s">
        <v>8</v>
      </c>
      <c r="L1" s="4" t="s">
        <v>7</v>
      </c>
      <c r="M1" s="5" t="s">
        <v>34</v>
      </c>
      <c r="N1" s="6" t="s">
        <v>9</v>
      </c>
      <c r="O1" s="6" t="s">
        <v>10</v>
      </c>
      <c r="P1" s="7" t="s">
        <v>11</v>
      </c>
      <c r="Q1" s="7" t="s">
        <v>12</v>
      </c>
      <c r="R1" s="8" t="s">
        <v>13</v>
      </c>
      <c r="S1" s="7" t="s">
        <v>14</v>
      </c>
      <c r="T1" s="5" t="s">
        <v>33</v>
      </c>
      <c r="U1" s="9" t="s">
        <v>32</v>
      </c>
    </row>
    <row r="2" spans="1:21" x14ac:dyDescent="0.25">
      <c r="A2" s="10" t="s">
        <v>15</v>
      </c>
      <c r="B2" s="10" t="s">
        <v>16</v>
      </c>
      <c r="C2" s="10" t="s">
        <v>17</v>
      </c>
      <c r="D2" s="10" t="s">
        <v>18</v>
      </c>
      <c r="E2" s="13">
        <v>45689</v>
      </c>
      <c r="F2" s="10">
        <v>21790</v>
      </c>
      <c r="G2" s="10">
        <v>10900</v>
      </c>
      <c r="H2" s="10">
        <v>9215.3350000000064</v>
      </c>
      <c r="I2" s="10"/>
      <c r="J2" s="10"/>
      <c r="K2" s="10"/>
      <c r="L2" s="10"/>
      <c r="M2" s="10">
        <f>SUM(F2:K2)</f>
        <v>41905.335000000006</v>
      </c>
      <c r="N2" s="10">
        <v>1800</v>
      </c>
      <c r="O2" s="10">
        <v>600</v>
      </c>
      <c r="P2" s="10">
        <v>200</v>
      </c>
      <c r="Q2" s="10">
        <v>0</v>
      </c>
      <c r="R2" s="10"/>
      <c r="S2" s="10"/>
      <c r="T2" s="10">
        <f>SUM(N2:S2)</f>
        <v>2600</v>
      </c>
      <c r="U2" s="11">
        <f>M2-T2</f>
        <v>39305.335000000006</v>
      </c>
    </row>
    <row r="3" spans="1:21" x14ac:dyDescent="0.25">
      <c r="A3" s="10" t="s">
        <v>19</v>
      </c>
      <c r="B3" s="10" t="s">
        <v>35</v>
      </c>
      <c r="C3" s="10" t="s">
        <v>17</v>
      </c>
      <c r="D3" s="10" t="s">
        <v>20</v>
      </c>
      <c r="E3" s="13">
        <v>45690</v>
      </c>
      <c r="F3" s="10">
        <v>21790</v>
      </c>
      <c r="G3" s="10">
        <v>6500</v>
      </c>
      <c r="H3" s="10">
        <v>5500</v>
      </c>
      <c r="I3" s="10"/>
      <c r="J3" s="10"/>
      <c r="K3" s="10"/>
      <c r="L3" s="10"/>
      <c r="M3" s="10">
        <f t="shared" ref="M3:M6" si="0">SUM(F3:K3)</f>
        <v>33790</v>
      </c>
      <c r="N3" s="10">
        <v>1560</v>
      </c>
      <c r="O3" s="10">
        <v>600</v>
      </c>
      <c r="P3" s="10">
        <v>200</v>
      </c>
      <c r="Q3" s="10">
        <v>0</v>
      </c>
      <c r="R3" s="10"/>
      <c r="S3" s="10"/>
      <c r="T3" s="10">
        <f t="shared" ref="T3:T6" si="1">SUM(N3:S3)</f>
        <v>2360</v>
      </c>
      <c r="U3" s="11">
        <f t="shared" ref="U3:U6" si="2">M3-T3</f>
        <v>31430</v>
      </c>
    </row>
    <row r="4" spans="1:21" x14ac:dyDescent="0.25">
      <c r="A4" s="10" t="s">
        <v>21</v>
      </c>
      <c r="B4" s="10" t="s">
        <v>22</v>
      </c>
      <c r="C4" s="10" t="s">
        <v>17</v>
      </c>
      <c r="D4" s="10" t="s">
        <v>20</v>
      </c>
      <c r="E4" s="13">
        <v>45691</v>
      </c>
      <c r="F4" s="10">
        <v>21790</v>
      </c>
      <c r="G4" s="10">
        <v>3900</v>
      </c>
      <c r="H4" s="10">
        <v>3300</v>
      </c>
      <c r="I4" s="10"/>
      <c r="J4" s="10"/>
      <c r="K4" s="10"/>
      <c r="L4" s="10"/>
      <c r="M4" s="10">
        <f t="shared" si="0"/>
        <v>28990</v>
      </c>
      <c r="N4" s="10">
        <v>470</v>
      </c>
      <c r="O4" s="10">
        <v>600</v>
      </c>
      <c r="P4" s="10">
        <v>200</v>
      </c>
      <c r="Q4" s="10">
        <v>60</v>
      </c>
      <c r="R4" s="10"/>
      <c r="S4" s="10"/>
      <c r="T4" s="10">
        <f t="shared" si="1"/>
        <v>1330</v>
      </c>
      <c r="U4" s="11">
        <f t="shared" si="2"/>
        <v>27660</v>
      </c>
    </row>
    <row r="5" spans="1:21" x14ac:dyDescent="0.25">
      <c r="A5" s="10" t="s">
        <v>23</v>
      </c>
      <c r="B5" s="10" t="s">
        <v>24</v>
      </c>
      <c r="C5" s="10" t="s">
        <v>17</v>
      </c>
      <c r="D5" s="10" t="s">
        <v>20</v>
      </c>
      <c r="E5" s="13">
        <v>45692</v>
      </c>
      <c r="F5" s="10">
        <v>15600</v>
      </c>
      <c r="G5" s="10">
        <v>7800</v>
      </c>
      <c r="H5" s="10">
        <v>6600</v>
      </c>
      <c r="I5" s="10"/>
      <c r="J5" s="10"/>
      <c r="K5" s="10"/>
      <c r="L5" s="10">
        <v>20000</v>
      </c>
      <c r="M5" s="10">
        <f t="shared" si="0"/>
        <v>30000</v>
      </c>
      <c r="N5" s="10">
        <v>1800</v>
      </c>
      <c r="O5" s="10">
        <v>600</v>
      </c>
      <c r="P5" s="10">
        <v>200</v>
      </c>
      <c r="Q5" s="10">
        <v>0</v>
      </c>
      <c r="R5" s="10"/>
      <c r="S5" s="10"/>
      <c r="T5" s="10">
        <f t="shared" si="1"/>
        <v>2600</v>
      </c>
      <c r="U5" s="11">
        <f t="shared" si="2"/>
        <v>27400</v>
      </c>
    </row>
    <row r="6" spans="1:21" x14ac:dyDescent="0.25">
      <c r="A6" s="10" t="s">
        <v>25</v>
      </c>
      <c r="B6" s="10" t="s">
        <v>26</v>
      </c>
      <c r="C6" s="10" t="s">
        <v>27</v>
      </c>
      <c r="D6" s="10" t="s">
        <v>28</v>
      </c>
      <c r="E6" s="13">
        <v>45693</v>
      </c>
      <c r="F6" s="10">
        <v>15600</v>
      </c>
      <c r="G6" s="10">
        <v>7800</v>
      </c>
      <c r="H6" s="10">
        <v>6600</v>
      </c>
      <c r="I6" s="10">
        <v>10000</v>
      </c>
      <c r="J6" s="10"/>
      <c r="K6" s="10"/>
      <c r="L6" s="10">
        <v>20000</v>
      </c>
      <c r="M6" s="10">
        <f t="shared" si="0"/>
        <v>40000</v>
      </c>
      <c r="N6" s="10">
        <v>1800</v>
      </c>
      <c r="O6" s="10">
        <v>600</v>
      </c>
      <c r="P6" s="10">
        <v>200</v>
      </c>
      <c r="Q6" s="10">
        <v>0</v>
      </c>
      <c r="R6" s="10">
        <v>5000</v>
      </c>
      <c r="S6" s="10"/>
      <c r="T6" s="10">
        <f t="shared" si="1"/>
        <v>7600</v>
      </c>
      <c r="U6" s="11">
        <f t="shared" si="2"/>
        <v>32400</v>
      </c>
    </row>
  </sheetData>
  <conditionalFormatting sqref="F1:O1">
    <cfRule type="beginsWith" priority="2" operator="beginsWith" text="0">
      <formula>LEFT(F1,LEN("0"))="0"</formula>
    </cfRule>
  </conditionalFormatting>
  <conditionalFormatting sqref="T1">
    <cfRule type="beginsWith" priority="1" operator="beginsWith" text="0">
      <formula>LEFT(T1,LEN("0"))="0"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Shankraayya V</dc:creator>
  <cp:lastModifiedBy>Nitu Ritu</cp:lastModifiedBy>
  <dcterms:created xsi:type="dcterms:W3CDTF">2025-03-22T08:15:09Z</dcterms:created>
  <dcterms:modified xsi:type="dcterms:W3CDTF">2025-06-22T16:00:52Z</dcterms:modified>
</cp:coreProperties>
</file>